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unxs\Desktop\"/>
    </mc:Choice>
  </mc:AlternateContent>
  <xr:revisionPtr revIDLastSave="0" documentId="13_ncr:1_{85FE7A7E-10B4-4615-9452-656E1C61B78F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  <c r="E2" i="1"/>
  <c r="E3" i="1"/>
  <c r="E4" i="1"/>
  <c r="E5" i="1"/>
  <c r="E6" i="1"/>
  <c r="E7" i="1"/>
  <c r="E8" i="1"/>
  <c r="E9" i="1"/>
  <c r="E10" i="1"/>
  <c r="E1" i="1"/>
  <c r="D2" i="1"/>
  <c r="D3" i="1"/>
  <c r="D4" i="1"/>
  <c r="D5" i="1"/>
  <c r="D6" i="1"/>
  <c r="D7" i="1"/>
  <c r="D8" i="1"/>
  <c r="D9" i="1"/>
  <c r="D10" i="1"/>
  <c r="D1" i="1"/>
  <c r="B9" i="1" l="1"/>
  <c r="B8" i="1"/>
  <c r="B5" i="1"/>
  <c r="B6" i="1"/>
  <c r="B2" i="1"/>
  <c r="B3" i="1"/>
  <c r="B4" i="1"/>
  <c r="B7" i="1"/>
  <c r="B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92487841593331"/>
          <c:y val="2.9830508474576273E-2"/>
          <c:w val="0.86198688628994902"/>
          <c:h val="0.8475979180568529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Sheet1!$B$1:$B$10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1.6666666666666668E-3</c:v>
                </c:pt>
                <c:pt idx="2">
                  <c:v>1.6666666666666666E-2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0.33333333333333331</c:v>
                </c:pt>
                <c:pt idx="6">
                  <c:v>0.5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</c:numCache>
            </c:numRef>
          </c:xVal>
          <c:yVal>
            <c:numRef>
              <c:f>Sheet1!$C$1:$C$10</c:f>
              <c:numCache>
                <c:formatCode>General</c:formatCode>
                <c:ptCount val="10"/>
                <c:pt idx="0">
                  <c:v>25</c:v>
                </c:pt>
                <c:pt idx="1">
                  <c:v>24.999500000000001</c:v>
                </c:pt>
                <c:pt idx="2">
                  <c:v>24.1447</c:v>
                </c:pt>
                <c:pt idx="3">
                  <c:v>24.014700000000001</c:v>
                </c:pt>
                <c:pt idx="4">
                  <c:v>24.003699999999998</c:v>
                </c:pt>
                <c:pt idx="5">
                  <c:v>24.0001</c:v>
                </c:pt>
                <c:pt idx="6">
                  <c:v>24.059799999999999</c:v>
                </c:pt>
                <c:pt idx="7">
                  <c:v>23.909500000000001</c:v>
                </c:pt>
                <c:pt idx="8">
                  <c:v>23.8673</c:v>
                </c:pt>
                <c:pt idx="9">
                  <c:v>23.798999999999999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C-4C53-8FCE-23A2B115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664671"/>
        <c:axId val="550307135"/>
      </c:scatterChart>
      <c:valAx>
        <c:axId val="62766467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T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307135"/>
        <c:crosses val="autoZero"/>
        <c:crossBetween val="midCat"/>
      </c:valAx>
      <c:valAx>
        <c:axId val="55030713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出口压力（</a:t>
                </a:r>
                <a:r>
                  <a:rPr lang="en-US" altLang="zh-CN"/>
                  <a:t>MPa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766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2067049900972"/>
          <c:y val="3.8834942321525096E-2"/>
          <c:w val="0.79391623593063132"/>
          <c:h val="0.85063483722490363"/>
        </c:manualLayout>
      </c:layout>
      <c:scatterChart>
        <c:scatterStyle val="lineMarker"/>
        <c:varyColors val="0"/>
        <c:ser>
          <c:idx val="0"/>
          <c:order val="0"/>
          <c:tx>
            <c:v>主动齿轮轴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Sheet1!$B$1:$B$10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1.6666666666666668E-3</c:v>
                </c:pt>
                <c:pt idx="2">
                  <c:v>1.6666666666666666E-2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0.33333333333333331</c:v>
                </c:pt>
                <c:pt idx="6">
                  <c:v>0.5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</c:numCache>
            </c:numRef>
          </c:xVal>
          <c:yVal>
            <c:numRef>
              <c:f>Sheet1!$D$1:$D$10</c:f>
              <c:numCache>
                <c:formatCode>General</c:formatCode>
                <c:ptCount val="10"/>
                <c:pt idx="0">
                  <c:v>614.91</c:v>
                </c:pt>
                <c:pt idx="1">
                  <c:v>614.90758240000002</c:v>
                </c:pt>
                <c:pt idx="2">
                  <c:v>610.77445344</c:v>
                </c:pt>
                <c:pt idx="3">
                  <c:v>610.14587744000005</c:v>
                </c:pt>
                <c:pt idx="4">
                  <c:v>610.09269023999991</c:v>
                </c:pt>
                <c:pt idx="5">
                  <c:v>610.07528351999997</c:v>
                </c:pt>
                <c:pt idx="6">
                  <c:v>610.36394496000003</c:v>
                </c:pt>
                <c:pt idx="7">
                  <c:v>609.63721439999995</c:v>
                </c:pt>
                <c:pt idx="8">
                  <c:v>609.43316895999999</c:v>
                </c:pt>
                <c:pt idx="9">
                  <c:v>609.10292479999998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36-4E8E-A549-B382040C32CB}"/>
            </c:ext>
          </c:extLst>
        </c:ser>
        <c:ser>
          <c:idx val="1"/>
          <c:order val="1"/>
          <c:tx>
            <c:v>被动齿轮轴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1.6666666666666668E-3</c:v>
                </c:pt>
                <c:pt idx="2">
                  <c:v>1.6666666666666666E-2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0.33333333333333331</c:v>
                </c:pt>
                <c:pt idx="6">
                  <c:v>0.5</c:v>
                </c:pt>
                <c:pt idx="7">
                  <c:v>0.66666666666666663</c:v>
                </c:pt>
                <c:pt idx="8">
                  <c:v>0.83333333333333337</c:v>
                </c:pt>
                <c:pt idx="9">
                  <c:v>1</c:v>
                </c:pt>
              </c:numCache>
            </c:numRef>
          </c:xVal>
          <c:yVal>
            <c:numRef>
              <c:f>Sheet1!$E:$E</c:f>
              <c:numCache>
                <c:formatCode>General</c:formatCode>
                <c:ptCount val="1048576"/>
                <c:pt idx="0">
                  <c:v>-373.15</c:v>
                </c:pt>
                <c:pt idx="1">
                  <c:v>-373.15241759999998</c:v>
                </c:pt>
                <c:pt idx="2">
                  <c:v>-377.28554655999994</c:v>
                </c:pt>
                <c:pt idx="3">
                  <c:v>-377.91412255999995</c:v>
                </c:pt>
                <c:pt idx="4">
                  <c:v>-377.96730975999998</c:v>
                </c:pt>
                <c:pt idx="5">
                  <c:v>-377.98471647999997</c:v>
                </c:pt>
                <c:pt idx="6">
                  <c:v>-377.69605503999998</c:v>
                </c:pt>
                <c:pt idx="7">
                  <c:v>-378.42278559999994</c:v>
                </c:pt>
                <c:pt idx="8">
                  <c:v>-378.62683103999996</c:v>
                </c:pt>
                <c:pt idx="9">
                  <c:v>-378.95707519999996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36-4E8E-A549-B382040C3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434752"/>
        <c:axId val="762243744"/>
      </c:scatterChart>
      <c:valAx>
        <c:axId val="8334347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时间（</a:t>
                </a:r>
                <a:r>
                  <a:rPr lang="en-US" altLang="zh-CN"/>
                  <a:t>T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2243744"/>
        <c:crosses val="autoZero"/>
        <c:crossBetween val="midCat"/>
      </c:valAx>
      <c:valAx>
        <c:axId val="7622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轴向力（</a:t>
                </a:r>
                <a:r>
                  <a:rPr lang="en-US" altLang="zh-CN"/>
                  <a:t>N</a:t>
                </a:r>
                <a:r>
                  <a:rPr lang="zh-CN" altLang="en-US"/>
                  <a:t>‘）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343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03680981595092"/>
          <c:y val="0.18371891499263995"/>
          <c:w val="0.20632737276478683"/>
          <c:h val="0.11373286357246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0</xdr:row>
      <xdr:rowOff>44451</xdr:rowOff>
    </xdr:from>
    <xdr:to>
      <xdr:col>12</xdr:col>
      <xdr:colOff>76200</xdr:colOff>
      <xdr:row>19</xdr:row>
      <xdr:rowOff>31750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66C5B0C-35B1-42CF-A645-AC7335571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241300</xdr:colOff>
      <xdr:row>0</xdr:row>
      <xdr:rowOff>98424</xdr:rowOff>
    </xdr:from>
    <xdr:to>
      <xdr:col>19</xdr:col>
      <xdr:colOff>234950</xdr:colOff>
      <xdr:row>21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0E42E6A-7F8F-4080-8908-C84112CAF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K26" sqref="K26"/>
    </sheetView>
  </sheetViews>
  <sheetFormatPr defaultRowHeight="14" x14ac:dyDescent="0.3"/>
  <sheetData>
    <row r="1" spans="1:5" x14ac:dyDescent="0.3">
      <c r="A1">
        <v>0</v>
      </c>
      <c r="B1">
        <f>A1/600</f>
        <v>0</v>
      </c>
      <c r="C1">
        <v>25</v>
      </c>
      <c r="D1">
        <f>4.8352*C1+494.03</f>
        <v>614.91</v>
      </c>
      <c r="E1">
        <f>4.8352*C1-494.03</f>
        <v>-373.15</v>
      </c>
    </row>
    <row r="2" spans="1:5" x14ac:dyDescent="0.3">
      <c r="A2">
        <v>1</v>
      </c>
      <c r="B2">
        <f t="shared" ref="B2:B10" si="0">A2/600</f>
        <v>1.6666666666666668E-3</v>
      </c>
      <c r="C2">
        <v>24.999500000000001</v>
      </c>
      <c r="D2">
        <f t="shared" ref="D2:D10" si="1">4.8352*C2+494.03</f>
        <v>614.90758240000002</v>
      </c>
      <c r="E2">
        <f t="shared" ref="E2:E10" si="2">4.8352*C2-494.03</f>
        <v>-373.15241759999998</v>
      </c>
    </row>
    <row r="3" spans="1:5" x14ac:dyDescent="0.3">
      <c r="A3">
        <v>10</v>
      </c>
      <c r="B3">
        <f t="shared" si="0"/>
        <v>1.6666666666666666E-2</v>
      </c>
      <c r="C3">
        <v>24.1447</v>
      </c>
      <c r="D3">
        <f t="shared" si="1"/>
        <v>610.77445344</v>
      </c>
      <c r="E3">
        <f t="shared" si="2"/>
        <v>-377.28554655999994</v>
      </c>
    </row>
    <row r="4" spans="1:5" x14ac:dyDescent="0.3">
      <c r="A4">
        <v>50</v>
      </c>
      <c r="B4">
        <f t="shared" si="0"/>
        <v>8.3333333333333329E-2</v>
      </c>
      <c r="C4">
        <v>24.014700000000001</v>
      </c>
      <c r="D4">
        <f t="shared" si="1"/>
        <v>610.14587744000005</v>
      </c>
      <c r="E4">
        <f t="shared" si="2"/>
        <v>-377.91412255999995</v>
      </c>
    </row>
    <row r="5" spans="1:5" x14ac:dyDescent="0.3">
      <c r="A5">
        <v>100</v>
      </c>
      <c r="B5">
        <f t="shared" si="0"/>
        <v>0.16666666666666666</v>
      </c>
      <c r="C5">
        <v>24.003699999999998</v>
      </c>
      <c r="D5">
        <f t="shared" si="1"/>
        <v>610.09269023999991</v>
      </c>
      <c r="E5">
        <f t="shared" si="2"/>
        <v>-377.96730975999998</v>
      </c>
    </row>
    <row r="6" spans="1:5" x14ac:dyDescent="0.3">
      <c r="A6">
        <v>200</v>
      </c>
      <c r="B6">
        <f t="shared" si="0"/>
        <v>0.33333333333333331</v>
      </c>
      <c r="C6">
        <v>24.0001</v>
      </c>
      <c r="D6">
        <f t="shared" si="1"/>
        <v>610.07528351999997</v>
      </c>
      <c r="E6">
        <f t="shared" si="2"/>
        <v>-377.98471647999997</v>
      </c>
    </row>
    <row r="7" spans="1:5" ht="14.5" customHeight="1" x14ac:dyDescent="0.3">
      <c r="A7">
        <v>300</v>
      </c>
      <c r="B7">
        <f t="shared" si="0"/>
        <v>0.5</v>
      </c>
      <c r="C7">
        <v>24.059799999999999</v>
      </c>
      <c r="D7">
        <f t="shared" si="1"/>
        <v>610.36394496000003</v>
      </c>
      <c r="E7">
        <f t="shared" si="2"/>
        <v>-377.69605503999998</v>
      </c>
    </row>
    <row r="8" spans="1:5" ht="14.5" customHeight="1" x14ac:dyDescent="0.3">
      <c r="A8">
        <v>400</v>
      </c>
      <c r="B8">
        <f t="shared" si="0"/>
        <v>0.66666666666666663</v>
      </c>
      <c r="C8">
        <v>23.909500000000001</v>
      </c>
      <c r="D8">
        <f t="shared" si="1"/>
        <v>609.63721439999995</v>
      </c>
      <c r="E8">
        <f t="shared" si="2"/>
        <v>-378.42278559999994</v>
      </c>
    </row>
    <row r="9" spans="1:5" ht="14.5" customHeight="1" x14ac:dyDescent="0.3">
      <c r="A9">
        <v>500</v>
      </c>
      <c r="B9">
        <f t="shared" si="0"/>
        <v>0.83333333333333337</v>
      </c>
      <c r="C9">
        <v>23.8673</v>
      </c>
      <c r="D9">
        <f t="shared" si="1"/>
        <v>609.43316895999999</v>
      </c>
      <c r="E9">
        <f t="shared" si="2"/>
        <v>-378.62683103999996</v>
      </c>
    </row>
    <row r="10" spans="1:5" x14ac:dyDescent="0.3">
      <c r="A10">
        <v>600</v>
      </c>
      <c r="B10">
        <f t="shared" si="0"/>
        <v>1</v>
      </c>
      <c r="C10">
        <v>23.798999999999999</v>
      </c>
      <c r="D10">
        <f t="shared" si="1"/>
        <v>609.10292479999998</v>
      </c>
      <c r="E10">
        <f t="shared" si="2"/>
        <v>-378.95707519999996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sunxs</dc:creator>
  <cp:lastModifiedBy>孙学圣</cp:lastModifiedBy>
  <dcterms:created xsi:type="dcterms:W3CDTF">2015-06-05T18:19:34Z</dcterms:created>
  <dcterms:modified xsi:type="dcterms:W3CDTF">2025-06-15T11:03:54Z</dcterms:modified>
</cp:coreProperties>
</file>